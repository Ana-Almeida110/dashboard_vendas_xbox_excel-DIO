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eu Drive\Cursos\DIO\Excel\Projeto_Dash_Xbox\"/>
    </mc:Choice>
  </mc:AlternateContent>
  <xr:revisionPtr revIDLastSave="0" documentId="13_ncr:1_{489CCB07-E19B-41FC-8465-3004FDEA3208}" xr6:coauthVersionLast="47" xr6:coauthVersionMax="47" xr10:uidLastSave="{00000000-0000-0000-0000-000000000000}"/>
  <bookViews>
    <workbookView xWindow="21480" yWindow="2565" windowWidth="21840" windowHeight="131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31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<sst xmlns="http://schemas.openxmlformats.org/spreadsheetml/2006/main" count="2022" uniqueCount="324">
  <si>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</si>
  <si>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</si>
  <si>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</si>
  <si>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</si>
  <si>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</si>
  <si>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</si>
  <si>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</si>
  <si>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</si>
  <si>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</si>
  <si>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</si>
  <si>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</si>
  <si>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</si>
  <si>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</si>
  <si>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</si>
  <si>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</si>
  <si>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</si>
  <si>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</si>
  <si>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</si>
  <si>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</si>
  <si>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</si>
  <si>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</si>
  <si>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</si>
  <si>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</si>
  <si>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</si>
  <si>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</si>
  <si>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</si>
  <si>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</si>
  <si>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</si>
  <si>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</si>
  <si>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</si>
  <si>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</si>
  <si>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</si>
  <si>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</si>
  <si>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</si>
  <si>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</si>
  <si>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</si>
  <si>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</si>
  <si>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</si>
  <si>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</si>
  <si>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</si>
  <si>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</si>
  <si>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</si>
  <si>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</si>
  <si>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</si>
  <si>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</si>
  <si>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</si>
  <si>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</si>
  <si>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</si>
  <si>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</si>
  <si>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</si>
  <si>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</si>
  <si>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</si>
  <si>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</si>
  <si>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</si>
  <si>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</si>
  <si>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</si>
  <si>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</si>
  <si>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</si>
  <si>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</si>
  <si>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</si>
  <si>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</si>
  <si>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</si>
  <si>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</si>
  <si>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</si>
  <si>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</si>
  <si>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</si>
  <si>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</si>
  <si>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</si>
  <si>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</si>
  <si>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</si>
  <si>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</si>
  <si>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</si>
  <si>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</si>
  <si>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</si>
  <si>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</si>
  <si>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</si>
  <si>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</si>
  <si>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</si>
  <si>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</si>
  <si>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</si>
  <si>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</si>
  <si>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</si>
  <si>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</si>
  <si>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</si>
  <si>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</si>
  <si>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</si>
  <si>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</si>
  <si>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</si>
  <si>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</si>
  <si>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</si>
  <si>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</si>
  <si>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</si>
  <si>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</si>
  <si>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</si>
  <si>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</si>
  <si>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</si>
  <si>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</si>
  <si>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</si>
  <si>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</si>
  <si>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</si>
  <si>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</si>
  <si>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</si>
  <si>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</si>
  <si>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</si>
  <si>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</si>
  <si>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</si>
  <si>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</si>
  <si>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</si>
  <si>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</si>
  <si>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</si>
  <si>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</si>
  <si>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</si>
  <si>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</si>
  <si>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</si>
  <si>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</si>
  <si>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</si>
  <si>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</si>
  <si>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</si>
  <si>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</si>
  <si>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</si>
  <si>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</si>
  <si>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</si>
  <si>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</si>
  <si>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</si>
  <si>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</si>
  <si>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</si>
  <si>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</si>
  <si>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</si>
  <si>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</si>
  <si>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</si>
  <si>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</si>
  <si>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</si>
  <si>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</si>
  <si>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</si>
  <si>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</si>
  <si>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</si>
  <si>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</si>
  <si>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</si>
  <si>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</si>
  <si>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</si>
  <si>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</si>
  <si>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</si>
  <si>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</si>
  <si>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</si>
  <si>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</si>
  <si>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</si>
  <si>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</si>
  <si>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</si>
  <si>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</si>
  <si>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</si>
  <si>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</si>
  <si>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</si>
  <si>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</si>
  <si>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</si>
  <si>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</si>
  <si>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</si>
  <si>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</si>
  <si>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</si>
  <si>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</si>
  <si>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</si>
  <si>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</si>
  <si>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</si>
  <si>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</si>
  <si>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</si>
  <si>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</si>
  <si>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</si>
  <si>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</si>
  <si>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</si>
  <si>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</si>
  <si>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</si>
  <si>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</si>
  <si>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</si>
  <si>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</si>
  <si>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</si>
  <si>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</si>
  <si>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</si>
  <si>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</si>
  <si>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</si>
  <si>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</si>
  <si>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</si>
  <si>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</si>
  <si>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</si>
  <si>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</si>
  <si>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</si>
  <si>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</si>
  <si>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</si>
  <si>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</si>
  <si>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</si>
  <si>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</si>
  <si>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</si>
  <si>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</si>
  <si>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</si>
  <si>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</si>
  <si>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</si>
  <si>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</si>
  <si>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</si>
  <si>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</si>
  <si>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</si>
  <si>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</si>
  <si>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</si>
  <si>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</si>
  <si>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</si>
  <si>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</si>
  <si>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</si>
  <si>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</si>
  <si>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</si>
  <si>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</si>
  <si>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</si>
  <si>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</si>
  <si>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</si>
  <si>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</si>
  <si>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</si>
  <si>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</si>
  <si>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</si>
  <si>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</si>
  <si>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</si>
  <si>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</si>
  <si>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</si>
  <si>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</si>
  <si>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</si>
  <si>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</si>
  <si>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</si>
  <si>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</si>
  <si>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</si>
  <si>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</si>
  <si>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</si>
  <si>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</si>
  <si>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</si>
  <si>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</si>
  <si>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</si>
  <si>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</si>
  <si>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</si>
  <si>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</si>
  <si>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</si>
  <si>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</si>
  <si>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</si>
  <si>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</si>
  <si>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</si>
  <si>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</si>
  <si>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</si>
  <si>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</si>
  <si>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</si>
  <si>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</si>
  <si>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</si>
  <si>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</si>
  <si>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</si>
  <si>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</si>
  <si>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</si>
  <si>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</si>
  <si>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</si>
  <si>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</si>
  <si>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</si>
  <si>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</si>
  <si>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</si>
  <si>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</si>
  <si>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</si>
  <si>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</si>
  <si>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</si>
  <si>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</si>
  <si>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</si>
  <si>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</si>
  <si>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</si>
  <si>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</si>
  <si>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</si>
  <si>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</si>
  <si>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</si>
  <si>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</si>
  <si>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</si>
  <si>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</si>
  <si>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</si>
  <si>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</si>
  <si>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</si>
  <si>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</si>
  <si>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</si>
  <si>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</si>
  <si>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</si>
  <si>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</si>
  <si>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</si>
  <si>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</si>
  <si>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</si>
  <si>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</si>
  <si>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</si>
  <si>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</si>
  <si>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</si>
  <si>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</si>
  <si>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</si>
  <si>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</si>
  <si>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</si>
  <si>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</si>
  <si>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</si>
  <si>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</si>
  <si>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</si>
  <si>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</si>
  <si>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</si>
  <si>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</si>
  <si>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</si>
  <si>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</si>
  <si>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</si>
  <si>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</si>
  <si>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</si>
  <si>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</si>
  <si>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</si>
  <si>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</si>
  <si>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</si>
  <si>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</si>
  <si>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</si>
  <si>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</si>
  <si>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</si>
  <si>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</si>
  <si>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</si>
  <si>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</si>
  <si>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</si>
  <si>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</si>
  <si>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</si>
  <si>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</si>
  <si>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Perguntas de negócio:</t>
  </si>
  <si>
    <r>
      <t xml:space="preserve">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(sim ou não)</t>
    </r>
  </si>
  <si>
    <r>
      <t xml:space="preserve">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assinaturas agregadas)</t>
    </r>
  </si>
  <si>
    <t>#E8E6E9</t>
  </si>
  <si>
    <t>XBOX GAME PASS SUBSCRIPTIONS SALES</t>
  </si>
  <si>
    <t>3 - Total de vendas de assinaturas do EAPlay</t>
  </si>
  <si>
    <t>Soma de EA Play Season Pass</t>
  </si>
  <si>
    <t>4 - Qual o total de assinaturas do Minecraft Season Pass?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</si>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</sst>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Fill="1"/>
    <xf numFmtId="0" fontId="4" fillId="0" borderId="2" xfId="1" applyFont="1" applyFill="1" applyBorder="1"/>
    <xf numFmtId="0" fontId="0" fillId="0" borderId="2" xfId="0" applyFill="1" applyBorder="1"/>
    <xf numFmtId="0" fontId="4" fillId="0" borderId="2" xfId="1" applyFont="1" applyFill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34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  <name val="Segoe U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832D04BE-9017-484B-AD14-36631CC6B095}">
      <tableStyleElement type="wholeTable" dxfId="33"/>
      <tableStyleElement type="headerRow" dxfId="32"/>
    </tableStyle>
  </tableStyles>
  <colors>
    <mruColors>
      <color rgb="FF22C55E"/>
      <color rgb="FF9BC848"/>
      <color rgb="FF2AE6B1"/>
      <color rgb="FF5BF6A8"/>
      <color rgb="FFFFFFFF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3113758360527069E-2"/>
          <c:y val="0.14254086342815001"/>
          <c:w val="0.89973941899485765"/>
          <c:h val="0.810814741685544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3-4AD5-B071-E89266EC279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3-4AD5-B071-E89266EC2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83-4AD5-B071-E89266EC2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518224"/>
        <c:axId val="398517264"/>
      </c:barChart>
      <c:catAx>
        <c:axId val="39851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8517264"/>
        <c:crosses val="autoZero"/>
        <c:auto val="1"/>
        <c:lblAlgn val="ctr"/>
        <c:lblOffset val="100"/>
        <c:noMultiLvlLbl val="0"/>
      </c:catAx>
      <c:valAx>
        <c:axId val="39851726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985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1833561</xdr:colOff>
      <xdr:row>0</xdr:row>
      <xdr:rowOff>130969</xdr:rowOff>
    </xdr:from>
    <xdr:to>
      <xdr:col>2</xdr:col>
      <xdr:colOff>452436</xdr:colOff>
      <xdr:row>3</xdr:row>
      <xdr:rowOff>129254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4B21DD-E52E-4E00-B1A9-1BACC7C555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535"/>
        <a:stretch/>
      </xdr:blipFill>
      <xdr:spPr>
        <a:xfrm>
          <a:off x="1833561" y="130969"/>
          <a:ext cx="821531" cy="102222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66675</xdr:rowOff>
    </xdr:from>
    <xdr:to>
      <xdr:col>0</xdr:col>
      <xdr:colOff>1964530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FFB926A-90DE-47E0-AC38-C91C83405F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57375"/>
              <a:ext cx="196453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214312</xdr:colOff>
      <xdr:row>4</xdr:row>
      <xdr:rowOff>154781</xdr:rowOff>
    </xdr:from>
    <xdr:to>
      <xdr:col>8</xdr:col>
      <xdr:colOff>130969</xdr:colOff>
      <xdr:row>13</xdr:row>
      <xdr:rowOff>84093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709A47E0-50F5-6C0F-DE68-934C29BB5D07}"/>
            </a:ext>
          </a:extLst>
        </xdr:cNvPr>
        <xdr:cNvGrpSpPr/>
      </xdr:nvGrpSpPr>
      <xdr:grpSpPr>
        <a:xfrm>
          <a:off x="2176462" y="1373981"/>
          <a:ext cx="3812382" cy="1643812"/>
          <a:chOff x="2250281" y="1119188"/>
          <a:chExt cx="3798095" cy="164381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4307D3E-EA56-550E-C0A8-0BF74A8D6443}"/>
              </a:ext>
            </a:extLst>
          </xdr:cNvPr>
          <xdr:cNvSpPr/>
        </xdr:nvSpPr>
        <xdr:spPr>
          <a:xfrm>
            <a:off x="2262188" y="1158321"/>
            <a:ext cx="3786188" cy="1532491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600</a:t>
            </a:r>
          </a:p>
        </xdr:txBody>
      </xdr:sp>
      <xdr:sp macro="" textlink="C̳álculos!E21">
        <xdr:nvSpPr>
          <xdr:cNvPr id="9" name="Retângulo 8">
            <a:extLst>
              <a:ext uri="{FF2B5EF4-FFF2-40B4-BE49-F238E27FC236}">
                <a16:creationId xmlns:a16="http://schemas.microsoft.com/office/drawing/2014/main" id="{75ABA6EE-212E-168C-AAA9-13C30861F821}"/>
              </a:ext>
            </a:extLst>
          </xdr:cNvPr>
          <xdr:cNvSpPr/>
        </xdr:nvSpPr>
        <xdr:spPr>
          <a:xfrm>
            <a:off x="4024314" y="1706943"/>
            <a:ext cx="1893092" cy="69428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FB04199-3E30-4620-A566-DEF632E49A42}" type="TxLink">
              <a:rPr lang="en-US" sz="2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R$ 1.350,00</a:t>
            </a:fld>
            <a:endParaRPr lang="pt-BR" sz="24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014CB3C-E965-4085-8D98-EF41F40624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24126" y="1368983"/>
            <a:ext cx="1214438" cy="1394017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04D814E9-3627-A7C7-1558-304790A6DF5C}"/>
              </a:ext>
            </a:extLst>
          </xdr:cNvPr>
          <xdr:cNvSpPr/>
        </xdr:nvSpPr>
        <xdr:spPr>
          <a:xfrm>
            <a:off x="2250281" y="1119188"/>
            <a:ext cx="3787200" cy="4356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342899</xdr:colOff>
      <xdr:row>4</xdr:row>
      <xdr:rowOff>176212</xdr:rowOff>
    </xdr:from>
    <xdr:to>
      <xdr:col>15</xdr:col>
      <xdr:colOff>46255</xdr:colOff>
      <xdr:row>13</xdr:row>
      <xdr:rowOff>21430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CADA6D13-58F0-CD96-5CD1-D17A3512A0E3}"/>
            </a:ext>
          </a:extLst>
        </xdr:cNvPr>
        <xdr:cNvGrpSpPr/>
      </xdr:nvGrpSpPr>
      <xdr:grpSpPr>
        <a:xfrm>
          <a:off x="6200774" y="1395412"/>
          <a:ext cx="3799106" cy="1559718"/>
          <a:chOff x="6188868" y="1390650"/>
          <a:chExt cx="3787200" cy="1559718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8AF93BAA-9D66-0DD8-C4B0-AE04E2D7E28B}"/>
              </a:ext>
            </a:extLst>
          </xdr:cNvPr>
          <xdr:cNvSpPr/>
        </xdr:nvSpPr>
        <xdr:spPr>
          <a:xfrm>
            <a:off x="6188869" y="1417877"/>
            <a:ext cx="3786188" cy="1532491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600</a:t>
            </a:r>
          </a:p>
        </xdr:txBody>
      </xdr:sp>
      <xdr:sp macro="" textlink="C̳álculos!E31">
        <xdr:nvSpPr>
          <xdr:cNvPr id="22" name="Retângulo 21">
            <a:extLst>
              <a:ext uri="{FF2B5EF4-FFF2-40B4-BE49-F238E27FC236}">
                <a16:creationId xmlns:a16="http://schemas.microsoft.com/office/drawing/2014/main" id="{A5D565F0-95A1-1EEB-CC41-0F601DCAADD8}"/>
              </a:ext>
            </a:extLst>
          </xdr:cNvPr>
          <xdr:cNvSpPr/>
        </xdr:nvSpPr>
        <xdr:spPr>
          <a:xfrm>
            <a:off x="7917656" y="1966499"/>
            <a:ext cx="1747837" cy="69428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B12F151-C1BF-4DAD-8D93-2EADC56E9F97}" type="TxLink">
              <a:rPr lang="en-US" sz="2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R$ 1.800,00</a:t>
            </a:fld>
            <a:endParaRPr lang="pt-BR" sz="24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6D9AAA78-F636-0CDA-A40D-466074A99DBC}"/>
              </a:ext>
            </a:extLst>
          </xdr:cNvPr>
          <xdr:cNvSpPr/>
        </xdr:nvSpPr>
        <xdr:spPr>
          <a:xfrm>
            <a:off x="6188868" y="1390650"/>
            <a:ext cx="3787200" cy="4356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6B877943-0FFB-4362-A348-64261EB025FB}"/>
              </a:ext>
            </a:extLst>
          </xdr:cNvPr>
          <xdr:cNvGrpSpPr/>
        </xdr:nvGrpSpPr>
        <xdr:grpSpPr>
          <a:xfrm>
            <a:off x="6572249" y="1926431"/>
            <a:ext cx="880345" cy="633412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05A38BF5-53EA-745D-70B0-58CF14FEC0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EEFD2337-5D4F-CB81-23B8-766BAAE7A8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214311</xdr:colOff>
      <xdr:row>14</xdr:row>
      <xdr:rowOff>119063</xdr:rowOff>
    </xdr:from>
    <xdr:to>
      <xdr:col>15</xdr:col>
      <xdr:colOff>119061</xdr:colOff>
      <xdr:row>31</xdr:row>
      <xdr:rowOff>71437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368CCC0-2692-5C9B-FAF0-C866CBFEE610}"/>
            </a:ext>
          </a:extLst>
        </xdr:cNvPr>
        <xdr:cNvGrpSpPr/>
      </xdr:nvGrpSpPr>
      <xdr:grpSpPr>
        <a:xfrm>
          <a:off x="2176461" y="3243263"/>
          <a:ext cx="7896225" cy="3190874"/>
          <a:chOff x="2250280" y="2988470"/>
          <a:chExt cx="7870032" cy="322659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8162774-75B7-80E2-2FF3-47AF7FF3FA4D}"/>
              </a:ext>
            </a:extLst>
          </xdr:cNvPr>
          <xdr:cNvSpPr/>
        </xdr:nvSpPr>
        <xdr:spPr>
          <a:xfrm>
            <a:off x="2250281" y="3048002"/>
            <a:ext cx="7870031" cy="3167062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AAE1F5D-0FFD-4C3C-8F3D-5A5D0F99E217}"/>
              </a:ext>
            </a:extLst>
          </xdr:cNvPr>
          <xdr:cNvGraphicFramePr>
            <a:graphicFrameLocks/>
          </xdr:cNvGraphicFramePr>
        </xdr:nvGraphicFramePr>
        <xdr:xfrm>
          <a:off x="2416969" y="3237417"/>
          <a:ext cx="7392327" cy="27227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4AC8CA64-618A-4BBE-9403-3D21CCD5269D}"/>
              </a:ext>
            </a:extLst>
          </xdr:cNvPr>
          <xdr:cNvSpPr/>
        </xdr:nvSpPr>
        <xdr:spPr>
          <a:xfrm>
            <a:off x="2250280" y="2988470"/>
            <a:ext cx="7870032" cy="4356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583406</xdr:colOff>
      <xdr:row>1</xdr:row>
      <xdr:rowOff>23812</xdr:rowOff>
    </xdr:from>
    <xdr:to>
      <xdr:col>0</xdr:col>
      <xdr:colOff>1278731</xdr:colOff>
      <xdr:row>2</xdr:row>
      <xdr:rowOff>111918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01F3F5CF-0495-4128-A3A3-C7017143F879}"/>
            </a:ext>
          </a:extLst>
        </xdr:cNvPr>
        <xdr:cNvSpPr/>
      </xdr:nvSpPr>
      <xdr:spPr>
        <a:xfrm>
          <a:off x="583406" y="21431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130968</xdr:colOff>
      <xdr:row>2</xdr:row>
      <xdr:rowOff>202406</xdr:rowOff>
    </xdr:from>
    <xdr:ext cx="1670457" cy="297004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4B38087-61C2-A5B6-159F-2579B45B84B7}"/>
            </a:ext>
          </a:extLst>
        </xdr:cNvPr>
        <xdr:cNvSpPr txBox="1"/>
      </xdr:nvSpPr>
      <xdr:spPr>
        <a:xfrm>
          <a:off x="130968" y="1000125"/>
          <a:ext cx="1670457" cy="297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vindo, Gestor</a:t>
          </a:r>
          <a:endParaRPr lang="pt-BR" sz="1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1</xdr:col>
      <xdr:colOff>140493</xdr:colOff>
      <xdr:row>2</xdr:row>
      <xdr:rowOff>188118</xdr:rowOff>
    </xdr:from>
    <xdr:ext cx="4562531" cy="262892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BD7C670-50A7-44FF-89D9-8B285FA6EB44}"/>
            </a:ext>
          </a:extLst>
        </xdr:cNvPr>
        <xdr:cNvSpPr txBox="1"/>
      </xdr:nvSpPr>
      <xdr:spPr>
        <a:xfrm>
          <a:off x="2105024" y="985837"/>
          <a:ext cx="4562531" cy="262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00" b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| Update date: 07/02/2026 19:25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Paula de Almeida Coiado" refreshedDate="46060.451298263892" createdVersion="8" refreshedVersion="8" minRefreshableVersion="3" recordCount="295" xr:uid="{81744757-1F84-4268-8796-C365447B9D3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452705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7708-D175-4E4F-98FB-4F6C095D04D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1B6CE-F047-42C3-93DD-A720F0FE1C8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formats count="1">
    <format dxfId="16">
      <pivotArea outline="0" collapsedLevelsAreSubtotals="1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22E60-D043-45EA-84C3-43507252659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83E1B2B-7D10-4E6A-92A6-B22566ACB034}" sourceName="Subscription Type">
  <pivotTables>
    <pivotTable tabId="3" name="Tabela dinâmica1"/>
    <pivotTable tabId="3" name="Tabela dinâmica3"/>
    <pivotTable tabId="3" name="Tabela dinâmica4"/>
  </pivotTables>
  <data>
    <tabular pivotCacheId="94527058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3D72FC2-1D15-4B17-9BFC-9AA3270916D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1">
  <autoFilter ref="A1:M296" xr:uid="{34E0E886-4200-4B36-97B3-63DB74FF40A0}"/>
  <tableColumns count="13">
    <tableColumn id="1" xr3:uid="{C4A90516-688A-46BF-9167-EA16C2A8A652}" name="Subscriber ID" dataDxfId="30"/>
    <tableColumn id="2" xr3:uid="{53DD39D0-2220-4121-9E9D-4EAA7E151C0F}" name="Name" dataDxfId="29"/>
    <tableColumn id="3" xr3:uid="{4F5FF271-4C57-4BE0-8F2C-F82C8551625C}" name="Plan" dataDxfId="28"/>
    <tableColumn id="4" xr3:uid="{8C17EB93-79B9-4E55-B8F7-BEB82F8253E9}" name="Start Date" dataDxfId="27"/>
    <tableColumn id="5" xr3:uid="{48CEDF9B-1689-482A-A828-5CCE7713264A}" name="Auto Renewal" dataDxfId="26"/>
    <tableColumn id="6" xr3:uid="{78B82374-9AA7-4E38-AE4F-78CDE6C83720}" name="Subscription Price" dataDxfId="25" dataCellStyle="Moeda"/>
    <tableColumn id="7" xr3:uid="{F2433F68-AF33-49D0-B1FB-19A396074EDE}" name="Subscription Type" dataDxfId="24"/>
    <tableColumn id="8" xr3:uid="{FD4D9C95-F6E5-4933-9068-A71FF7DF9343}" name="EA Play Season Pass" dataDxfId="23"/>
    <tableColumn id="13" xr3:uid="{978DD0D2-834E-4CE4-A39B-30976086932F}" name="EA Play Season Pass_x000a_Price" dataDxfId="22" dataCellStyle="Moeda"/>
    <tableColumn id="9" xr3:uid="{6E29F111-C395-4580-9DAD-3407D9E8B1A4}" name="Minecraft Season Pass" dataDxfId="21"/>
    <tableColumn id="10" xr3:uid="{EF544EAA-7F25-4FD5-A10E-8E62804DB9E3}" name="Minecraft Season Pass Price" dataDxfId="20" dataCellStyle="Moeda"/>
    <tableColumn id="11" xr3:uid="{7F6EB64A-1F07-4E48-9F0F-AC7D9DCD26F8}" name="Coupon Value" dataDxfId="19" dataCellStyle="Moeda"/>
    <tableColumn id="12" xr3:uid="{2B04ABC8-DE6F-426E-ADC0-D8AFC68CA58E}" name="Total Value" dataDxfId="1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A24" sqref="A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318</v>
      </c>
      <c r="F5" t="s">
        <v>6</v>
      </c>
    </row>
    <row r="6" spans="2:16" x14ac:dyDescent="0.25">
      <c r="B6" s="4" t="s">
        <v>3</v>
      </c>
      <c r="C6" t="s">
        <v>7</v>
      </c>
    </row>
    <row r="7" spans="2:16" x14ac:dyDescent="0.25">
      <c r="B7" s="5" t="s">
        <v>4</v>
      </c>
      <c r="C7" t="s">
        <v>8</v>
      </c>
    </row>
    <row r="8" spans="2:16" x14ac:dyDescent="0.25">
      <c r="B8" s="6" t="s">
        <v>5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4" sqref="A2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1"/>
  <sheetViews>
    <sheetView showGridLines="0" topLeftCell="A10" workbookViewId="0">
      <selection activeCell="A24" sqref="A2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4.5703125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315</v>
      </c>
    </row>
    <row r="3" spans="2:3" x14ac:dyDescent="0.25">
      <c r="B3" t="s">
        <v>317</v>
      </c>
    </row>
    <row r="4" spans="2:3" x14ac:dyDescent="0.25">
      <c r="B4" t="s">
        <v>316</v>
      </c>
    </row>
    <row r="6" spans="2:3" x14ac:dyDescent="0.25">
      <c r="B6" s="12" t="s">
        <v>15</v>
      </c>
      <c r="C6" t="s">
        <v>19</v>
      </c>
    </row>
    <row r="8" spans="2:3" x14ac:dyDescent="0.25">
      <c r="B8" s="12" t="s">
        <v>312</v>
      </c>
      <c r="C8" t="s">
        <v>314</v>
      </c>
    </row>
    <row r="9" spans="2:3" x14ac:dyDescent="0.25">
      <c r="B9" s="13" t="s">
        <v>22</v>
      </c>
      <c r="C9" s="14">
        <v>2824</v>
      </c>
    </row>
    <row r="10" spans="2:3" x14ac:dyDescent="0.25">
      <c r="B10" s="13" t="s">
        <v>18</v>
      </c>
      <c r="C10" s="14">
        <v>747</v>
      </c>
    </row>
    <row r="11" spans="2:3" x14ac:dyDescent="0.25">
      <c r="B11" s="13" t="s">
        <v>313</v>
      </c>
      <c r="C11" s="14">
        <v>3571</v>
      </c>
    </row>
    <row r="13" spans="2:3" x14ac:dyDescent="0.25">
      <c r="B13" s="13" t="s">
        <v>320</v>
      </c>
    </row>
    <row r="15" spans="2:3" x14ac:dyDescent="0.25">
      <c r="B15" s="12" t="s">
        <v>15</v>
      </c>
      <c r="C15" t="s">
        <v>19</v>
      </c>
    </row>
    <row r="17" spans="2:5" x14ac:dyDescent="0.25">
      <c r="B17" s="12" t="s">
        <v>312</v>
      </c>
      <c r="C17" t="s">
        <v>321</v>
      </c>
    </row>
    <row r="18" spans="2:5" x14ac:dyDescent="0.25">
      <c r="B18" s="13" t="s">
        <v>21</v>
      </c>
      <c r="C18" s="14">
        <v>0</v>
      </c>
    </row>
    <row r="19" spans="2:5" x14ac:dyDescent="0.25">
      <c r="B19" s="13" t="s">
        <v>25</v>
      </c>
      <c r="C19" s="14">
        <v>0</v>
      </c>
    </row>
    <row r="20" spans="2:5" x14ac:dyDescent="0.25">
      <c r="B20" s="13" t="s">
        <v>17</v>
      </c>
      <c r="C20" s="14">
        <v>1350</v>
      </c>
    </row>
    <row r="21" spans="2:5" x14ac:dyDescent="0.25">
      <c r="B21" s="13" t="s">
        <v>313</v>
      </c>
      <c r="C21" s="14">
        <v>1350</v>
      </c>
      <c r="E21" s="14">
        <f>GETPIVOTDATA("EA Play Season Pass
Price",$B$17)</f>
        <v>1350</v>
      </c>
    </row>
    <row r="23" spans="2:5" x14ac:dyDescent="0.25">
      <c r="B23" s="13" t="s">
        <v>322</v>
      </c>
    </row>
    <row r="25" spans="2:5" x14ac:dyDescent="0.25">
      <c r="B25" s="12" t="s">
        <v>15</v>
      </c>
      <c r="C25" t="s">
        <v>19</v>
      </c>
    </row>
    <row r="27" spans="2:5" x14ac:dyDescent="0.25">
      <c r="B27" s="12" t="s">
        <v>312</v>
      </c>
      <c r="C27" t="s">
        <v>323</v>
      </c>
    </row>
    <row r="28" spans="2:5" x14ac:dyDescent="0.25">
      <c r="B28" s="13" t="s">
        <v>21</v>
      </c>
      <c r="C28" s="14">
        <v>0</v>
      </c>
    </row>
    <row r="29" spans="2:5" x14ac:dyDescent="0.25">
      <c r="B29" s="13" t="s">
        <v>25</v>
      </c>
      <c r="C29" s="14">
        <v>900</v>
      </c>
    </row>
    <row r="30" spans="2:5" x14ac:dyDescent="0.25">
      <c r="B30" s="13" t="s">
        <v>17</v>
      </c>
      <c r="C30" s="14">
        <v>900</v>
      </c>
    </row>
    <row r="31" spans="2:5" x14ac:dyDescent="0.25">
      <c r="B31" s="13" t="s">
        <v>313</v>
      </c>
      <c r="C31" s="14">
        <v>1800</v>
      </c>
      <c r="E31" s="14">
        <f>GETPIVOTDATA("Minecraft Season Pass Price",$B$27)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P101"/>
  <sheetViews>
    <sheetView showGridLines="0" showRowColHeaders="0" tabSelected="1" topLeftCell="E4" zoomScaleNormal="100" workbookViewId="0">
      <selection activeCell="M4" sqref="M4"/>
    </sheetView>
  </sheetViews>
  <sheetFormatPr defaultRowHeight="15" x14ac:dyDescent="0.25"/>
  <cols>
    <col min="1" max="1" width="29.42578125" style="4" customWidth="1"/>
    <col min="2" max="2" width="3.5703125" customWidth="1"/>
    <col min="12" max="12" width="6.5703125" customWidth="1"/>
  </cols>
  <sheetData>
    <row r="1" spans="2:42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2:42" ht="48" customHeight="1" thickBot="1" x14ac:dyDescent="0.35">
      <c r="B2" s="15"/>
      <c r="C2" s="18" t="s">
        <v>319</v>
      </c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2:42" ht="18" customHeight="1" thickTop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2:42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2:42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2:42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2:42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2:42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2:42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2:4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2:4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2:4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2:4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2:4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2:4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2:4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2:4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2:4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2:4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2:4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2:4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2:4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2:4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2:4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2:4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2:4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2:4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2:4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2:4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2:4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2:4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2:4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2:4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2:4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2:4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2:4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2:4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2:4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2:4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2:4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2:4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2:4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2:4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2:4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2:4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2:4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2:4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2:4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2:4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2:4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2:4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2:4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2:4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2:4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2:4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2:4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2:42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2:42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2:42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2:42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2:42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2:42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2:42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2:42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2:42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2:42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2:42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2:42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2:42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2:42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2:42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2:42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2:42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2:42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2:42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2:42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2:42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2:42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2:42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2:42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2:42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2:42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2:42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2:42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2:42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2:42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2:42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2:42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2:42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2:42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2:42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2:42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2:42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2:42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2:42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2:42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2:42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2:42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2:42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2:42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2:42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Paula de Almeida Coiado</cp:lastModifiedBy>
  <dcterms:created xsi:type="dcterms:W3CDTF">2024-12-19T13:13:10Z</dcterms:created>
  <dcterms:modified xsi:type="dcterms:W3CDTF">2026-02-07T22:38:22Z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